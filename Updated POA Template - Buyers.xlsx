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ffp\Downloads\"/>
    </mc:Choice>
  </mc:AlternateContent>
  <xr:revisionPtr revIDLastSave="0" documentId="8_{CBA0DF1F-F562-43C8-91BE-B8E90717E4A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OA Summary" sheetId="1" r:id="rId1"/>
    <sheet name="Q1" sheetId="2" r:id="rId2"/>
    <sheet name="Q2" sheetId="3" r:id="rId3"/>
    <sheet name="Q3" sheetId="4" r:id="rId4"/>
    <sheet name="Q4" sheetId="5" r:id="rId5"/>
    <sheet name="Alternatives 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B5" i="6"/>
  <c r="G27" i="5"/>
  <c r="F27" i="5"/>
  <c r="E27" i="5"/>
  <c r="C18" i="1" s="1"/>
  <c r="G27" i="4"/>
  <c r="F27" i="4"/>
  <c r="E27" i="4"/>
  <c r="G27" i="3"/>
  <c r="F27" i="3"/>
  <c r="E6" i="1" s="1"/>
  <c r="E27" i="3"/>
  <c r="G27" i="2"/>
  <c r="F27" i="2"/>
  <c r="E27" i="2"/>
  <c r="B6" i="1" s="1"/>
  <c r="D18" i="1"/>
  <c r="B18" i="1"/>
  <c r="D17" i="1"/>
  <c r="C17" i="1"/>
  <c r="B17" i="1"/>
  <c r="D16" i="1"/>
  <c r="C16" i="1"/>
  <c r="B16" i="1"/>
  <c r="D15" i="1"/>
  <c r="C15" i="1"/>
  <c r="B15" i="1"/>
  <c r="E7" i="1"/>
  <c r="B7" i="1"/>
</calcChain>
</file>

<file path=xl/sharedStrings.xml><?xml version="1.0" encoding="utf-8"?>
<sst xmlns="http://schemas.openxmlformats.org/spreadsheetml/2006/main" count="97" uniqueCount="69">
  <si>
    <t>PROCUREMENT PLAN (POA) - SUMMARY</t>
  </si>
  <si>
    <r>
      <rPr>
        <b/>
        <sz val="10"/>
        <color theme="1"/>
        <rFont val="Calibri"/>
      </rPr>
      <t xml:space="preserve">Client: </t>
    </r>
    <r>
      <rPr>
        <b/>
        <u/>
        <sz val="10"/>
        <color theme="1"/>
        <rFont val="Calibri"/>
      </rPr>
      <t>_____Sovrn________________</t>
    </r>
  </si>
  <si>
    <t>Period: FY 2026  |  Last Updated: _________</t>
  </si>
  <si>
    <t>📊 KEY METRICS (Auto-calculated from Quarter sheets)</t>
  </si>
  <si>
    <t>Annual Savings Target:</t>
  </si>
  <si>
    <t>$___________</t>
  </si>
  <si>
    <t>YTD Achieved:</t>
  </si>
  <si>
    <t>$___________ (____%)</t>
  </si>
  <si>
    <t>Total Pipeline:</t>
  </si>
  <si>
    <t>to</t>
  </si>
  <si>
    <t>Total # of Deals:</t>
  </si>
  <si>
    <t>Avg HIGH Confidence:</t>
  </si>
  <si>
    <t>Alternatives Potential:</t>
  </si>
  <si>
    <t>(See Alternatives sheet)</t>
  </si>
  <si>
    <t>→ Click tab to review</t>
  </si>
  <si>
    <t>⚠️ IMPORTANT ASSUMPTIONS</t>
  </si>
  <si>
    <t>• All savings projections based on FLAT RENEWAL at current scope unless marked as Upgrade/Downgrade.
• UPGRADES may reduce % savings due to higher base spend but still deliver absolute savings.
• DOWNGRADES reduce absolute savings opportunity proportionally.
• Final results depend on: scope stability, timely approvals, vendor cooperation, market conditions.</t>
  </si>
  <si>
    <t>QUARTERLY BREAKDOWN (Auto-populated from Quarter sheets)</t>
  </si>
  <si>
    <t>Quarter</t>
  </si>
  <si>
    <t># Deals</t>
  </si>
  <si>
    <t>Savings Range (Low - High)</t>
  </si>
  <si>
    <t>% Deals HIGH Conf</t>
  </si>
  <si>
    <t>Overall Status</t>
  </si>
  <si>
    <t>Notes</t>
  </si>
  <si>
    <t>Q1 (Jan-Mar)</t>
  </si>
  <si>
    <t>Q2 (Apr-Jun)</t>
  </si>
  <si>
    <t>Q3 (Jul-Sep)</t>
  </si>
  <si>
    <t>Q4 (Oct-Dec)</t>
  </si>
  <si>
    <t>🎯 KEY ACTIONS &amp; RISKS</t>
  </si>
  <si>
    <t>Top Actions:</t>
  </si>
  <si>
    <t>Top Risks:</t>
  </si>
  <si>
    <t>Gap to Target:</t>
  </si>
  <si>
    <t>(Manually enter: If target is $200K and pipeline is $150-210K, gap analysis goes here)</t>
  </si>
  <si>
    <t>Q1 (Jan-Mar) RENEWAL DETAILS</t>
  </si>
  <si>
    <t>📝 Enter all renewals for this quarter. POA Summary and Alternatives Analysis will auto-update.</t>
  </si>
  <si>
    <t>Tool / Vendor</t>
  </si>
  <si>
    <t>Renewal Date</t>
  </si>
  <si>
    <t>Current Spend ($K)</t>
  </si>
  <si>
    <t>Scenario</t>
  </si>
  <si>
    <t>Low Savings ($K)</t>
  </si>
  <si>
    <t>High Savings ($K)</t>
  </si>
  <si>
    <t>Confidence</t>
  </si>
  <si>
    <t>Scenario: 🟢 UPGRADE (adding users/modules) | 🟡 FLAT (same scope) | 🟠 DOWNGRADE (reducing users/modules)</t>
  </si>
  <si>
    <t>Q1 (Jan-Mar) SUBTOTAL</t>
  </si>
  <si>
    <t>Q2 (Apr-Jun) RENEWAL DETAILS</t>
  </si>
  <si>
    <t>Q2 (Apr-Jun) SUBTOTAL</t>
  </si>
  <si>
    <t>Q3 (Jul-Sep) RENEWAL DETAILS</t>
  </si>
  <si>
    <t>Q3 (Jul-Sep) SUBTOTAL</t>
  </si>
  <si>
    <t>Q4 (Oct-Dec) RENEWAL DETAILS</t>
  </si>
  <si>
    <t>Q4 (Oct-Dec) SUBTOTAL</t>
  </si>
  <si>
    <t>ALTERNATIVES &amp; OPTIMIZATION OPPORTUNITIES</t>
  </si>
  <si>
    <t>💡 This sheet identifies tools in the TOP 10% of quarterly spend that may have cost-effective alternatives. Evaluate these 6+ months before renewal. If any request needs to be actioned it will take place only after having request raised by the customer on Spendlfo Platform - 120 days prior.</t>
  </si>
  <si>
    <t>📊 OPPORTUNITY SUMMARY (Auto-Flagged from Quarter Sheets)</t>
  </si>
  <si>
    <t>Total Tools Tracked:</t>
  </si>
  <si>
    <t>Total Quarterly Spend:</t>
  </si>
  <si>
    <t>Top 10% Threshold:</t>
  </si>
  <si>
    <t>Top 10% Candidates:</t>
  </si>
  <si>
    <t>(Manual count of tools flagged below)</t>
  </si>
  <si>
    <t>Potential Annual Savings:</t>
  </si>
  <si>
    <t>(Sum of savings column below)</t>
  </si>
  <si>
    <t>Tools &gt;$___ qualify</t>
  </si>
  <si>
    <t>ALTERNATIVES EVALUATION (Enter Top 10% Spend Tools Below)</t>
  </si>
  <si>
    <t>Current Cost ($K/yr)</t>
  </si>
  <si>
    <t>Renewal Quarter</t>
  </si>
  <si>
    <t>Alternative Option(s)</t>
  </si>
  <si>
    <t>Potential Savings ($K)</t>
  </si>
  <si>
    <t>Migration Effort</t>
  </si>
  <si>
    <t>Status</t>
  </si>
  <si>
    <t>Target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</si>
</sst>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&quot;K (Low)&quot;"/>
    <numFmt numFmtId="165" formatCode="&quot;$&quot;#,##0&quot;K (High)&quot;"/>
    <numFmt numFmtId="166" formatCode="d\-mmm\-yy"/>
    <numFmt numFmtId="167" formatCode="&quot;$&quot;#,##0&quot;K&quot;"/>
    <numFmt numFmtId="168" formatCode="d\-mmmm\-yy"/>
  </numFmts>
  <fonts count="18">
    <font>
      <sz val="11"/>
      <color theme="1"/>
      <name val="Calibri"/>
      <scheme val="minor"/>
    </font>
    <font>
      <b/>
      <sz val="12"/>
      <color rgb="FFFFFFFF"/>
      <name val="Calibri"/>
      <scheme val="minor"/>
    </font>
    <font>
      <sz val="11"/>
      <name val="Calibri"/>
    </font>
    <font>
      <b/>
      <sz val="10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8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i/>
      <sz val="10"/>
      <color rgb="FF0000FF"/>
      <name val="Calibri"/>
      <scheme val="minor"/>
    </font>
    <font>
      <i/>
      <sz val="10"/>
      <color theme="1"/>
      <name val="Calibri"/>
      <scheme val="minor"/>
    </font>
    <font>
      <b/>
      <sz val="11"/>
      <color rgb="FFCC0000"/>
      <name val="Calibri"/>
      <scheme val="minor"/>
    </font>
    <font>
      <sz val="9"/>
      <color theme="1"/>
      <name val="Calibri"/>
      <scheme val="minor"/>
    </font>
    <font>
      <b/>
      <sz val="10"/>
      <color rgb="FFFFFFFF"/>
      <name val="Calibri"/>
      <scheme val="minor"/>
    </font>
    <font>
      <b/>
      <sz val="11"/>
      <color theme="1"/>
      <name val="Calibri"/>
      <scheme val="minor"/>
    </font>
    <font>
      <i/>
      <sz val="9"/>
      <color theme="1"/>
      <name val="Calibri"/>
      <scheme val="minor"/>
    </font>
    <font>
      <b/>
      <sz val="9"/>
      <color theme="1"/>
      <name val="Calibri"/>
      <scheme val="minor"/>
    </font>
    <font>
      <b/>
      <sz val="10"/>
      <color theme="1"/>
      <name val="Calibri"/>
    </font>
    <font>
      <b/>
      <u/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  <bgColor rgb="FFFFEB9C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3" fillId="3" borderId="10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0" fontId="3" fillId="0" borderId="10" xfId="0" applyFont="1" applyBorder="1"/>
    <xf numFmtId="0" fontId="7" fillId="0" borderId="10" xfId="0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67" fontId="4" fillId="6" borderId="10" xfId="0" applyNumberFormat="1" applyFont="1" applyFill="1" applyBorder="1"/>
    <xf numFmtId="0" fontId="15" fillId="6" borderId="10" xfId="0" applyFont="1" applyFill="1" applyBorder="1" applyAlignment="1">
      <alignment horizontal="center"/>
    </xf>
    <xf numFmtId="168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left"/>
    </xf>
    <xf numFmtId="0" fontId="0" fillId="0" borderId="0" xfId="0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7" fillId="0" borderId="11" xfId="0" applyFont="1" applyBorder="1" applyAlignment="1">
      <alignment vertical="top" wrapText="1"/>
    </xf>
    <xf numFmtId="0" fontId="2" fillId="0" borderId="12" xfId="0" applyFont="1" applyBorder="1"/>
    <xf numFmtId="0" fontId="2" fillId="0" borderId="13" xfId="0" applyFont="1" applyBorder="1"/>
    <xf numFmtId="0" fontId="14" fillId="0" borderId="11" xfId="0" applyFont="1" applyBorder="1" applyAlignment="1">
      <alignment vertical="top" wrapText="1"/>
    </xf>
    <xf numFmtId="0" fontId="10" fillId="4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1" fillId="0" borderId="7" xfId="0" applyFont="1" applyBorder="1" applyAlignment="1">
      <alignment horizontal="left" vertical="top" wrapText="1"/>
    </xf>
    <xf numFmtId="0" fontId="2" fillId="0" borderId="8" xfId="0" applyFont="1" applyBorder="1"/>
    <xf numFmtId="0" fontId="2" fillId="0" borderId="9" xfId="0" applyFont="1" applyBorder="1"/>
    <xf numFmtId="0" fontId="12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9" fillId="0" borderId="0" xfId="0" applyFont="1"/>
    <xf numFmtId="0" fontId="14" fillId="0" borderId="0" xfId="0" applyFont="1"/>
    <xf numFmtId="0" fontId="9" fillId="6" borderId="1" xfId="0" applyFont="1" applyFill="1" applyBorder="1" applyAlignment="1">
      <alignment horizontal="center" wrapText="1"/>
    </xf>
    <xf numFmtId="0" fontId="4" fillId="0" borderId="0" xfId="0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8" workbookViewId="0">
      <selection sqref="A1:F1"/>
    </sheetView>
  </sheetViews>
  <sheetFormatPr defaultColWidth="14.44140625" defaultRowHeight="15" customHeight="1"/>
  <cols>
    <col min="1" max="1" width="20" customWidth="1"/>
    <col min="2" max="2" width="12" customWidth="1"/>
    <col min="3" max="3" width="18" customWidth="1"/>
    <col min="4" max="4" width="35.88671875" customWidth="1"/>
    <col min="5" max="5" width="15" customWidth="1"/>
    <col min="6" max="6" width="30" customWidth="1"/>
    <col min="7" max="26" width="8.6640625" customWidth="1"/>
  </cols>
  <sheetData>
    <row r="1" spans="1:26" ht="24.75" customHeight="1">
      <c r="A1" s="23" t="s">
        <v>0</v>
      </c>
      <c r="B1" s="24"/>
      <c r="C1" s="24"/>
      <c r="D1" s="24"/>
      <c r="E1" s="24"/>
      <c r="F1" s="25"/>
    </row>
    <row r="2" spans="1:26" ht="14.4">
      <c r="A2" s="26" t="s">
        <v>1</v>
      </c>
      <c r="B2" s="20"/>
      <c r="C2" s="20"/>
      <c r="D2" s="27" t="s">
        <v>2</v>
      </c>
      <c r="E2" s="20"/>
      <c r="F2" s="20"/>
    </row>
    <row r="4" spans="1:26" ht="21.75" customHeight="1">
      <c r="A4" s="28" t="s">
        <v>3</v>
      </c>
      <c r="B4" s="24"/>
      <c r="C4" s="24"/>
      <c r="D4" s="24"/>
      <c r="E4" s="24"/>
      <c r="F4" s="25"/>
    </row>
    <row r="5" spans="1:26" ht="14.4">
      <c r="A5" s="2" t="s">
        <v>4</v>
      </c>
      <c r="B5" s="29" t="s">
        <v>5</v>
      </c>
      <c r="C5" s="20"/>
      <c r="D5" s="2" t="s">
        <v>6</v>
      </c>
      <c r="E5" s="30" t="s">
        <v>7</v>
      </c>
      <c r="F5" s="2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>
      <c r="A6" s="2" t="s">
        <v>8</v>
      </c>
      <c r="B6" s="19">
        <f>'Q1'!E27+'Q2'!E27+'Q3'!E27+'Q4'!E27</f>
        <v>0</v>
      </c>
      <c r="C6" s="20"/>
      <c r="D6" s="4" t="s">
        <v>9</v>
      </c>
      <c r="E6" s="31">
        <f>'Q1'!F27+'Q2'!F27+'Q3'!F27+'Q4'!F27</f>
        <v>0</v>
      </c>
      <c r="F6" s="2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>
      <c r="A7" s="2" t="s">
        <v>10</v>
      </c>
      <c r="B7" s="21">
        <f>COUNTA('Q1'!A6:A25)+COUNTA('Q2'!A6:A25)+COUNTA('Q3'!A6:A25)+COUNTA('Q4'!A6:A25)</f>
        <v>0</v>
      </c>
      <c r="C7" s="20"/>
      <c r="D7" s="2" t="s">
        <v>11</v>
      </c>
      <c r="E7" s="21" t="str">
        <f>IF(COUNTA('Q1'!A6:A25)+COUNTA('Q2'!A6:A25)+COUNTA('Q3'!A6:A25)+COUNTA('Q4'!A6:A25)&gt;0,ROUND((COUNTIF('Q1'!G6:G25,"● HIGH")+COUNTIF('Q2'!G6:G25,"● HIGH")+COUNTIF('Q3'!G6:G25,"● HIGH")+COUNTIF('Q4'!G6:G25,"● HIGH"))/COUNTA('Q1'!A6:A25)+COUNTA('Q2'!A6:A25)+COUNTA('Q3'!A6:A25)+COUNTA('Q4'!A6:A25)*100,0)&amp;"%","")</f>
        <v/>
      </c>
      <c r="F7" s="2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>
      <c r="A8" s="1" t="s">
        <v>12</v>
      </c>
      <c r="B8" s="22" t="s">
        <v>13</v>
      </c>
      <c r="C8" s="20"/>
      <c r="D8" s="5" t="s">
        <v>14</v>
      </c>
      <c r="E8" s="20"/>
      <c r="F8" s="20"/>
    </row>
    <row r="10" spans="1:26" ht="19.5" customHeight="1">
      <c r="A10" s="36" t="s">
        <v>15</v>
      </c>
      <c r="B10" s="37"/>
      <c r="C10" s="37"/>
      <c r="D10" s="37"/>
      <c r="E10" s="37"/>
      <c r="F10" s="38"/>
    </row>
    <row r="11" spans="1:26" ht="46.5" customHeight="1">
      <c r="A11" s="39" t="s">
        <v>16</v>
      </c>
      <c r="B11" s="40"/>
      <c r="C11" s="40"/>
      <c r="D11" s="40"/>
      <c r="E11" s="40"/>
      <c r="F11" s="41"/>
    </row>
    <row r="13" spans="1:26" ht="19.5" customHeight="1">
      <c r="A13" s="42" t="s">
        <v>17</v>
      </c>
      <c r="B13" s="24"/>
      <c r="C13" s="24"/>
      <c r="D13" s="24"/>
      <c r="E13" s="24"/>
      <c r="F13" s="25"/>
    </row>
    <row r="14" spans="1:26" ht="30" customHeight="1">
      <c r="A14" s="6" t="s">
        <v>18</v>
      </c>
      <c r="B14" s="6" t="s">
        <v>19</v>
      </c>
      <c r="C14" s="6" t="s">
        <v>20</v>
      </c>
      <c r="D14" s="6" t="s">
        <v>21</v>
      </c>
      <c r="E14" s="6" t="s">
        <v>22</v>
      </c>
      <c r="F14" s="6" t="s">
        <v>23</v>
      </c>
    </row>
    <row r="15" spans="1:26" ht="24.75" customHeight="1">
      <c r="A15" s="7" t="s">
        <v>24</v>
      </c>
      <c r="B15" s="8">
        <f>COUNTA('Q1'!A6:A25)</f>
        <v>0</v>
      </c>
      <c r="C15" s="8" t="str">
        <f>IF('Q1'!E27&gt;0,"$"&amp;TEXT('Q1'!E27,"#,##0")&amp;"K - $"&amp;TEXT('Q1'!F27,"#,##0")&amp;"K","")</f>
        <v/>
      </c>
      <c r="D15" s="8" t="str">
        <f>IF(COUNTA('Q1'!A6:A25)&gt;0,ROUND(COUNTIF('Q1'!G6:G25,"● HIGH")/COUNTA('Q1'!A6:A25)*100,0)&amp;"%","")</f>
        <v/>
      </c>
      <c r="E15" s="8"/>
      <c r="F15" s="9"/>
    </row>
    <row r="16" spans="1:26" ht="24.75" customHeight="1">
      <c r="A16" s="7" t="s">
        <v>25</v>
      </c>
      <c r="B16" s="8">
        <f>COUNTA('Q2'!A6:A25)</f>
        <v>0</v>
      </c>
      <c r="C16" s="8" t="str">
        <f>IF('Q2'!E27&gt;0,"$"&amp;TEXT('Q2'!E27,"#,##0")&amp;"K - $"&amp;TEXT('Q2'!F27,"#,##0")&amp;"K","")</f>
        <v/>
      </c>
      <c r="D16" s="8" t="str">
        <f>IF(COUNTA('Q2'!A6:A25)&gt;0,ROUND(COUNTIF('Q2'!G6:G25,"● HIGH")/COUNTA('Q2'!A6:A25)*100,0)&amp;"%","")</f>
        <v/>
      </c>
      <c r="E16" s="8"/>
      <c r="F16" s="9"/>
    </row>
    <row r="17" spans="1:6" ht="24.75" customHeight="1">
      <c r="A17" s="7" t="s">
        <v>26</v>
      </c>
      <c r="B17" s="8">
        <f>COUNTA('Q3'!A6:A25)</f>
        <v>0</v>
      </c>
      <c r="C17" s="8" t="str">
        <f>IF('Q3'!E27&gt;0,"$"&amp;TEXT('Q3'!E27,"#,##0")&amp;"K - $"&amp;TEXT('Q3'!F27,"#,##0")&amp;"K","")</f>
        <v/>
      </c>
      <c r="D17" s="8" t="str">
        <f>IF(COUNTA('Q3'!A6:A25)&gt;0,ROUND(COUNTIF('Q3'!G6:G25,"● HIGH")/COUNTA('Q3'!A6:A25)*100,0)&amp;"%","")</f>
        <v/>
      </c>
      <c r="E17" s="8"/>
      <c r="F17" s="9"/>
    </row>
    <row r="18" spans="1:6" ht="24.75" customHeight="1">
      <c r="A18" s="7" t="s">
        <v>27</v>
      </c>
      <c r="B18" s="8">
        <f>COUNTA('Q4'!A6:A25)</f>
        <v>0</v>
      </c>
      <c r="C18" s="8" t="str">
        <f>IF('Q4'!E27&gt;0,"$"&amp;TEXT('Q4'!E27,"#,##0")&amp;"K - $"&amp;TEXT('Q4'!F27,"#,##0")&amp;"K","")</f>
        <v/>
      </c>
      <c r="D18" s="8" t="str">
        <f>IF(COUNTA('Q4'!A6:A25)&gt;0,ROUND(COUNTIF('Q4'!G6:G25,"● HIGH")/COUNTA('Q4'!A6:A25)*100,0)&amp;"%","")</f>
        <v/>
      </c>
      <c r="E18" s="8"/>
      <c r="F18" s="9"/>
    </row>
    <row r="20" spans="1:6" ht="21.75" customHeight="1">
      <c r="A20" s="28" t="s">
        <v>28</v>
      </c>
      <c r="B20" s="24"/>
      <c r="C20" s="24"/>
      <c r="D20" s="24"/>
      <c r="E20" s="24"/>
      <c r="F20" s="25"/>
    </row>
    <row r="21" spans="1:6" ht="39.75" customHeight="1">
      <c r="A21" s="10" t="s">
        <v>29</v>
      </c>
      <c r="B21" s="32"/>
      <c r="C21" s="33"/>
      <c r="D21" s="33"/>
      <c r="E21" s="33"/>
      <c r="F21" s="34"/>
    </row>
    <row r="22" spans="1:6" ht="39.75" customHeight="1">
      <c r="A22" s="10" t="s">
        <v>30</v>
      </c>
      <c r="B22" s="32"/>
      <c r="C22" s="33"/>
      <c r="D22" s="33"/>
      <c r="E22" s="33"/>
      <c r="F22" s="34"/>
    </row>
    <row r="23" spans="1:6" ht="34.5" customHeight="1">
      <c r="A23" s="10" t="s">
        <v>31</v>
      </c>
      <c r="B23" s="35" t="s">
        <v>32</v>
      </c>
      <c r="C23" s="33"/>
      <c r="D23" s="33"/>
      <c r="E23" s="33"/>
      <c r="F23" s="34"/>
    </row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2:F22"/>
    <mergeCell ref="B23:F23"/>
    <mergeCell ref="E7:F7"/>
    <mergeCell ref="E8:F8"/>
    <mergeCell ref="A10:F10"/>
    <mergeCell ref="A11:F11"/>
    <mergeCell ref="A13:F13"/>
    <mergeCell ref="A20:F20"/>
    <mergeCell ref="B21:F21"/>
    <mergeCell ref="B6:C6"/>
    <mergeCell ref="B7:C7"/>
    <mergeCell ref="B8:C8"/>
    <mergeCell ref="A1:F1"/>
    <mergeCell ref="A2:C2"/>
    <mergeCell ref="D2:F2"/>
    <mergeCell ref="A4:F4"/>
    <mergeCell ref="B5:C5"/>
    <mergeCell ref="E5:F5"/>
    <mergeCell ref="E6:F6"/>
  </mergeCells>
  <dataValidations count="1">
    <dataValidation type="list" allowBlank="1" sqref="E15:E18" xr:uid="{00000000-0002-0000-0000-000000000000}">
      <formula1>"✓ On Track,⚠ At Risk,✗ Delayed,⏸ Pending"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G1"/>
    </sheetView>
  </sheetViews>
  <sheetFormatPr defaultColWidth="14.44140625" defaultRowHeight="15" customHeight="1"/>
  <cols>
    <col min="1" max="1" width="25" customWidth="1"/>
    <col min="2" max="2" width="12" customWidth="1"/>
    <col min="3" max="3" width="14" customWidth="1"/>
    <col min="4" max="4" width="16" customWidth="1"/>
    <col min="5" max="6" width="14" customWidth="1"/>
    <col min="7" max="7" width="12" customWidth="1"/>
    <col min="8" max="26" width="8.6640625" customWidth="1"/>
  </cols>
  <sheetData>
    <row r="1" spans="1:7" ht="24.75" customHeight="1">
      <c r="A1" s="23" t="s">
        <v>33</v>
      </c>
      <c r="B1" s="24"/>
      <c r="C1" s="24"/>
      <c r="D1" s="24"/>
      <c r="E1" s="24"/>
      <c r="F1" s="24"/>
      <c r="G1" s="25"/>
    </row>
    <row r="2" spans="1:7" ht="19.5" customHeight="1">
      <c r="A2" s="43" t="s">
        <v>34</v>
      </c>
      <c r="B2" s="24"/>
      <c r="C2" s="24"/>
      <c r="D2" s="24"/>
      <c r="E2" s="24"/>
      <c r="F2" s="24"/>
      <c r="G2" s="25"/>
    </row>
    <row r="4" spans="1:7" ht="30" customHeight="1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spans="1:7" ht="19.5" customHeight="1">
      <c r="A5" s="44" t="s">
        <v>42</v>
      </c>
      <c r="B5" s="24"/>
      <c r="C5" s="24"/>
      <c r="D5" s="24"/>
      <c r="E5" s="24"/>
      <c r="F5" s="24"/>
      <c r="G5" s="25"/>
    </row>
    <row r="6" spans="1:7" ht="24.75" customHeight="1">
      <c r="A6" s="11"/>
      <c r="B6" s="12"/>
      <c r="C6" s="13"/>
      <c r="D6" s="11"/>
      <c r="E6" s="13"/>
      <c r="F6" s="13"/>
      <c r="G6" s="11"/>
    </row>
    <row r="7" spans="1:7" ht="24.75" customHeight="1">
      <c r="A7" s="11"/>
      <c r="B7" s="12"/>
      <c r="C7" s="13"/>
      <c r="D7" s="11"/>
      <c r="E7" s="13"/>
      <c r="F7" s="13"/>
      <c r="G7" s="11"/>
    </row>
    <row r="8" spans="1:7" ht="24.75" customHeight="1">
      <c r="A8" s="11"/>
      <c r="B8" s="12"/>
      <c r="C8" s="13"/>
      <c r="D8" s="11"/>
      <c r="E8" s="13"/>
      <c r="F8" s="13"/>
      <c r="G8" s="11"/>
    </row>
    <row r="9" spans="1:7" ht="24.75" customHeight="1">
      <c r="A9" s="11"/>
      <c r="B9" s="12"/>
      <c r="C9" s="13"/>
      <c r="D9" s="11"/>
      <c r="E9" s="13"/>
      <c r="F9" s="13"/>
      <c r="G9" s="11"/>
    </row>
    <row r="10" spans="1:7" ht="24.75" customHeight="1">
      <c r="A10" s="11"/>
      <c r="B10" s="12"/>
      <c r="C10" s="13"/>
      <c r="D10" s="11"/>
      <c r="E10" s="13"/>
      <c r="F10" s="13"/>
      <c r="G10" s="11"/>
    </row>
    <row r="11" spans="1:7" ht="24.75" customHeight="1">
      <c r="A11" s="11"/>
      <c r="B11" s="12"/>
      <c r="C11" s="13"/>
      <c r="D11" s="11"/>
      <c r="E11" s="13"/>
      <c r="F11" s="13"/>
      <c r="G11" s="11"/>
    </row>
    <row r="12" spans="1:7" ht="24.75" customHeight="1">
      <c r="A12" s="11"/>
      <c r="B12" s="12"/>
      <c r="C12" s="13"/>
      <c r="D12" s="11"/>
      <c r="E12" s="13"/>
      <c r="F12" s="13"/>
      <c r="G12" s="11"/>
    </row>
    <row r="13" spans="1:7" ht="24.75" customHeight="1">
      <c r="A13" s="11"/>
      <c r="B13" s="12"/>
      <c r="C13" s="13"/>
      <c r="D13" s="11"/>
      <c r="E13" s="13"/>
      <c r="F13" s="13"/>
      <c r="G13" s="11"/>
    </row>
    <row r="14" spans="1:7" ht="24.75" customHeight="1">
      <c r="A14" s="11"/>
      <c r="B14" s="12"/>
      <c r="C14" s="13"/>
      <c r="D14" s="11"/>
      <c r="E14" s="13"/>
      <c r="F14" s="13"/>
      <c r="G14" s="11"/>
    </row>
    <row r="15" spans="1:7" ht="24.75" customHeight="1">
      <c r="A15" s="11"/>
      <c r="B15" s="11"/>
      <c r="C15" s="13"/>
      <c r="D15" s="11"/>
      <c r="E15" s="13"/>
      <c r="F15" s="13"/>
      <c r="G15" s="11"/>
    </row>
    <row r="16" spans="1:7" ht="24.75" customHeight="1">
      <c r="A16" s="11"/>
      <c r="B16" s="11"/>
      <c r="C16" s="13"/>
      <c r="D16" s="11"/>
      <c r="E16" s="13"/>
      <c r="F16" s="13"/>
      <c r="G16" s="11"/>
    </row>
    <row r="17" spans="1:7" ht="24.75" customHeight="1">
      <c r="A17" s="11"/>
      <c r="B17" s="11"/>
      <c r="C17" s="13"/>
      <c r="D17" s="11"/>
      <c r="E17" s="13"/>
      <c r="F17" s="13"/>
      <c r="G17" s="11"/>
    </row>
    <row r="18" spans="1:7" ht="24.75" customHeight="1">
      <c r="A18" s="11"/>
      <c r="B18" s="11"/>
      <c r="C18" s="13"/>
      <c r="D18" s="11"/>
      <c r="E18" s="13"/>
      <c r="F18" s="13"/>
      <c r="G18" s="11"/>
    </row>
    <row r="19" spans="1:7" ht="24.75" customHeight="1">
      <c r="A19" s="11"/>
      <c r="B19" s="11"/>
      <c r="C19" s="13"/>
      <c r="D19" s="11"/>
      <c r="E19" s="13"/>
      <c r="F19" s="13"/>
      <c r="G19" s="11"/>
    </row>
    <row r="20" spans="1:7" ht="24.75" customHeight="1">
      <c r="A20" s="11"/>
      <c r="B20" s="11"/>
      <c r="C20" s="13"/>
      <c r="D20" s="11"/>
      <c r="E20" s="13"/>
      <c r="F20" s="13"/>
      <c r="G20" s="11"/>
    </row>
    <row r="21" spans="1:7" ht="24.75" customHeight="1">
      <c r="A21" s="11"/>
      <c r="B21" s="11"/>
      <c r="C21" s="13"/>
      <c r="D21" s="11"/>
      <c r="E21" s="13"/>
      <c r="F21" s="13"/>
      <c r="G21" s="11"/>
    </row>
    <row r="22" spans="1:7" ht="24.75" customHeight="1">
      <c r="A22" s="11"/>
      <c r="B22" s="11"/>
      <c r="C22" s="13"/>
      <c r="D22" s="11"/>
      <c r="E22" s="13"/>
      <c r="F22" s="13"/>
      <c r="G22" s="11"/>
    </row>
    <row r="23" spans="1:7" ht="24.75" customHeight="1">
      <c r="A23" s="11"/>
      <c r="B23" s="11"/>
      <c r="C23" s="13"/>
      <c r="D23" s="11"/>
      <c r="E23" s="13"/>
      <c r="F23" s="13"/>
      <c r="G23" s="11"/>
    </row>
    <row r="24" spans="1:7" ht="24.75" customHeight="1">
      <c r="A24" s="11"/>
      <c r="B24" s="11"/>
      <c r="C24" s="13"/>
      <c r="D24" s="11"/>
      <c r="E24" s="13"/>
      <c r="F24" s="13"/>
      <c r="G24" s="11"/>
    </row>
    <row r="25" spans="1:7" ht="24.75" customHeight="1">
      <c r="A25" s="11"/>
      <c r="B25" s="11"/>
      <c r="C25" s="13"/>
      <c r="D25" s="11"/>
      <c r="E25" s="13"/>
      <c r="F25" s="13"/>
      <c r="G25" s="11"/>
    </row>
    <row r="26" spans="1:7" ht="15.75" customHeight="1"/>
    <row r="27" spans="1:7" ht="15.75" customHeight="1">
      <c r="A27" s="45" t="s">
        <v>43</v>
      </c>
      <c r="B27" s="33"/>
      <c r="C27" s="33"/>
      <c r="D27" s="34"/>
      <c r="E27" s="14">
        <f t="shared" ref="E27:F27" si="0">SUM(E6:E25)</f>
        <v>0</v>
      </c>
      <c r="F27" s="14">
        <f t="shared" si="0"/>
        <v>0</v>
      </c>
      <c r="G27" s="15" t="str">
        <f>COUNTIF(G6:G25,"● HIGH")&amp;"H "&amp;COUNTIF(G6:G25,"◐ MEDIUM")&amp;"M "&amp;COUNTIF(G6:G25,"○ LOW")&amp;"L"</f>
        <v>0H 0M 0L</v>
      </c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5:G5"/>
    <mergeCell ref="A27:D27"/>
  </mergeCells>
  <dataValidations count="2">
    <dataValidation type="list" allowBlank="1" sqref="D6:D25" xr:uid="{00000000-0002-0000-0100-000000000000}">
      <formula1>"🟢 Upgrade,🟡 Flat,🟠 Downgrade"</formula1>
    </dataValidation>
    <dataValidation type="list" allowBlank="1" sqref="G6:G25" xr:uid="{00000000-0002-0000-0100-000001000000}">
      <formula1>"● HIGH,◐ MEDIUM,○ LOW"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G1000"/>
  <sheetViews>
    <sheetView workbookViewId="0"/>
  </sheetViews>
  <sheetFormatPr defaultColWidth="14.44140625" defaultRowHeight="15" customHeight="1"/>
  <cols>
    <col min="1" max="1" width="25" customWidth="1"/>
    <col min="2" max="2" width="12" customWidth="1"/>
    <col min="3" max="3" width="14" customWidth="1"/>
    <col min="4" max="4" width="16" customWidth="1"/>
    <col min="5" max="6" width="14" customWidth="1"/>
    <col min="7" max="7" width="12" customWidth="1"/>
    <col min="8" max="26" width="8.6640625" customWidth="1"/>
  </cols>
  <sheetData>
    <row r="1" spans="1:7" ht="24.75" customHeight="1">
      <c r="A1" s="23" t="s">
        <v>44</v>
      </c>
      <c r="B1" s="24"/>
      <c r="C1" s="24"/>
      <c r="D1" s="24"/>
      <c r="E1" s="24"/>
      <c r="F1" s="24"/>
      <c r="G1" s="25"/>
    </row>
    <row r="2" spans="1:7" ht="19.5" customHeight="1">
      <c r="A2" s="43" t="s">
        <v>34</v>
      </c>
      <c r="B2" s="24"/>
      <c r="C2" s="24"/>
      <c r="D2" s="24"/>
      <c r="E2" s="24"/>
      <c r="F2" s="24"/>
      <c r="G2" s="25"/>
    </row>
    <row r="4" spans="1:7" ht="30" customHeight="1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spans="1:7" ht="19.5" customHeight="1">
      <c r="A5" s="44" t="s">
        <v>42</v>
      </c>
      <c r="B5" s="24"/>
      <c r="C5" s="24"/>
      <c r="D5" s="24"/>
      <c r="E5" s="24"/>
      <c r="F5" s="24"/>
      <c r="G5" s="25"/>
    </row>
    <row r="6" spans="1:7" ht="24.75" customHeight="1">
      <c r="A6" s="11"/>
      <c r="B6" s="12"/>
      <c r="C6" s="13"/>
      <c r="D6" s="11"/>
      <c r="E6" s="13"/>
      <c r="F6" s="13"/>
      <c r="G6" s="11"/>
    </row>
    <row r="7" spans="1:7" ht="24.75" customHeight="1">
      <c r="A7" s="11"/>
      <c r="B7" s="12"/>
      <c r="C7" s="13"/>
      <c r="D7" s="11"/>
      <c r="E7" s="13"/>
      <c r="F7" s="13"/>
      <c r="G7" s="11"/>
    </row>
    <row r="8" spans="1:7" ht="24.75" customHeight="1">
      <c r="A8" s="11"/>
      <c r="B8" s="12"/>
      <c r="C8" s="13"/>
      <c r="D8" s="11"/>
      <c r="E8" s="13"/>
      <c r="F8" s="13"/>
      <c r="G8" s="11"/>
    </row>
    <row r="9" spans="1:7" ht="24.75" customHeight="1">
      <c r="A9" s="11"/>
      <c r="B9" s="12"/>
      <c r="C9" s="13"/>
      <c r="D9" s="11"/>
      <c r="E9" s="13"/>
      <c r="F9" s="13"/>
      <c r="G9" s="11"/>
    </row>
    <row r="10" spans="1:7" ht="24.75" customHeight="1">
      <c r="A10" s="11"/>
      <c r="B10" s="12"/>
      <c r="C10" s="13"/>
      <c r="D10" s="11"/>
      <c r="E10" s="13"/>
      <c r="F10" s="13"/>
      <c r="G10" s="11"/>
    </row>
    <row r="11" spans="1:7" ht="24.75" customHeight="1">
      <c r="A11" s="11"/>
      <c r="B11" s="12"/>
      <c r="C11" s="13"/>
      <c r="D11" s="11"/>
      <c r="E11" s="13"/>
      <c r="F11" s="13"/>
      <c r="G11" s="11"/>
    </row>
    <row r="12" spans="1:7" ht="24.75" customHeight="1">
      <c r="A12" s="11"/>
      <c r="B12" s="12"/>
      <c r="C12" s="13"/>
      <c r="D12" s="11"/>
      <c r="E12" s="13"/>
      <c r="F12" s="13"/>
      <c r="G12" s="11"/>
    </row>
    <row r="13" spans="1:7" ht="24.75" customHeight="1">
      <c r="A13" s="11"/>
      <c r="B13" s="12"/>
      <c r="C13" s="13"/>
      <c r="D13" s="11"/>
      <c r="E13" s="13"/>
      <c r="F13" s="13"/>
      <c r="G13" s="11"/>
    </row>
    <row r="14" spans="1:7" ht="24.75" customHeight="1">
      <c r="A14" s="11"/>
      <c r="B14" s="12"/>
      <c r="C14" s="13"/>
      <c r="D14" s="11"/>
      <c r="E14" s="13"/>
      <c r="F14" s="13"/>
      <c r="G14" s="11"/>
    </row>
    <row r="15" spans="1:7" ht="24.75" customHeight="1">
      <c r="A15" s="11"/>
      <c r="B15" s="11"/>
      <c r="C15" s="13"/>
      <c r="D15" s="11"/>
      <c r="E15" s="13"/>
      <c r="F15" s="13"/>
      <c r="G15" s="11"/>
    </row>
    <row r="16" spans="1:7" ht="24.75" customHeight="1">
      <c r="A16" s="11"/>
      <c r="B16" s="11"/>
      <c r="C16" s="13"/>
      <c r="D16" s="11"/>
      <c r="E16" s="13"/>
      <c r="F16" s="13"/>
      <c r="G16" s="11"/>
    </row>
    <row r="17" spans="1:7" ht="24.75" customHeight="1">
      <c r="A17" s="11"/>
      <c r="B17" s="11"/>
      <c r="C17" s="13"/>
      <c r="D17" s="11"/>
      <c r="E17" s="13"/>
      <c r="F17" s="13"/>
      <c r="G17" s="11"/>
    </row>
    <row r="18" spans="1:7" ht="24.75" customHeight="1">
      <c r="A18" s="11"/>
      <c r="B18" s="11"/>
      <c r="C18" s="13"/>
      <c r="D18" s="11"/>
      <c r="E18" s="13"/>
      <c r="F18" s="13"/>
      <c r="G18" s="11"/>
    </row>
    <row r="19" spans="1:7" ht="24.75" customHeight="1">
      <c r="A19" s="11"/>
      <c r="B19" s="11"/>
      <c r="C19" s="13"/>
      <c r="D19" s="11"/>
      <c r="E19" s="13"/>
      <c r="F19" s="13"/>
      <c r="G19" s="11"/>
    </row>
    <row r="20" spans="1:7" ht="24.75" customHeight="1">
      <c r="A20" s="11"/>
      <c r="B20" s="11"/>
      <c r="C20" s="13"/>
      <c r="D20" s="11"/>
      <c r="E20" s="13"/>
      <c r="F20" s="13"/>
      <c r="G20" s="11"/>
    </row>
    <row r="21" spans="1:7" ht="24.75" customHeight="1">
      <c r="A21" s="11"/>
      <c r="B21" s="11"/>
      <c r="C21" s="13"/>
      <c r="D21" s="11"/>
      <c r="E21" s="13"/>
      <c r="F21" s="13"/>
      <c r="G21" s="11"/>
    </row>
    <row r="22" spans="1:7" ht="24.75" customHeight="1">
      <c r="A22" s="11"/>
      <c r="B22" s="11"/>
      <c r="C22" s="13"/>
      <c r="D22" s="11"/>
      <c r="E22" s="13"/>
      <c r="F22" s="13"/>
      <c r="G22" s="11"/>
    </row>
    <row r="23" spans="1:7" ht="24.75" customHeight="1">
      <c r="A23" s="11"/>
      <c r="B23" s="11"/>
      <c r="C23" s="13"/>
      <c r="D23" s="11"/>
      <c r="E23" s="13"/>
      <c r="F23" s="13"/>
      <c r="G23" s="11"/>
    </row>
    <row r="24" spans="1:7" ht="24.75" customHeight="1">
      <c r="A24" s="11"/>
      <c r="B24" s="11"/>
      <c r="C24" s="13"/>
      <c r="D24" s="11"/>
      <c r="E24" s="13"/>
      <c r="F24" s="13"/>
      <c r="G24" s="11"/>
    </row>
    <row r="25" spans="1:7" ht="24.75" customHeight="1">
      <c r="A25" s="11"/>
      <c r="B25" s="11"/>
      <c r="C25" s="13"/>
      <c r="D25" s="11"/>
      <c r="E25" s="13"/>
      <c r="F25" s="13"/>
      <c r="G25" s="11"/>
    </row>
    <row r="26" spans="1:7" ht="15.75" customHeight="1"/>
    <row r="27" spans="1:7" ht="15.75" customHeight="1">
      <c r="A27" s="45" t="s">
        <v>45</v>
      </c>
      <c r="B27" s="33"/>
      <c r="C27" s="33"/>
      <c r="D27" s="34"/>
      <c r="E27" s="14">
        <f t="shared" ref="E27:F27" si="0">SUM(E6:E25)</f>
        <v>0</v>
      </c>
      <c r="F27" s="14">
        <f t="shared" si="0"/>
        <v>0</v>
      </c>
      <c r="G27" s="15" t="str">
        <f>COUNTIF(G6:G25,"● HIGH")&amp;"H "&amp;COUNTIF(G6:G25,"◐ MEDIUM")&amp;"M "&amp;COUNTIF(G6:G25,"○ LOW")&amp;"L"</f>
        <v>0H 0M 0L</v>
      </c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5:G5"/>
    <mergeCell ref="A27:D27"/>
  </mergeCells>
  <dataValidations count="2">
    <dataValidation type="list" allowBlank="1" sqref="D6:D25" xr:uid="{00000000-0002-0000-0200-000000000000}">
      <formula1>"🟢 Upgrade,🟡 Flat,🟠 Downgrade"</formula1>
    </dataValidation>
    <dataValidation type="list" allowBlank="1" sqref="G6:G25" xr:uid="{00000000-0002-0000-0200-000001000000}">
      <formula1>"● HIGH,◐ MEDIUM,○ LOW"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4140625" defaultRowHeight="15" customHeight="1"/>
  <cols>
    <col min="1" max="1" width="25" customWidth="1"/>
    <col min="2" max="2" width="12" customWidth="1"/>
    <col min="3" max="3" width="14" customWidth="1"/>
    <col min="4" max="4" width="16" customWidth="1"/>
    <col min="5" max="6" width="14" customWidth="1"/>
    <col min="7" max="7" width="12" customWidth="1"/>
    <col min="8" max="26" width="8.6640625" customWidth="1"/>
  </cols>
  <sheetData>
    <row r="1" spans="1:7" ht="24.75" customHeight="1">
      <c r="A1" s="23" t="s">
        <v>46</v>
      </c>
      <c r="B1" s="24"/>
      <c r="C1" s="24"/>
      <c r="D1" s="24"/>
      <c r="E1" s="24"/>
      <c r="F1" s="24"/>
      <c r="G1" s="25"/>
    </row>
    <row r="2" spans="1:7" ht="19.5" customHeight="1">
      <c r="A2" s="43" t="s">
        <v>34</v>
      </c>
      <c r="B2" s="24"/>
      <c r="C2" s="24"/>
      <c r="D2" s="24"/>
      <c r="E2" s="24"/>
      <c r="F2" s="24"/>
      <c r="G2" s="25"/>
    </row>
    <row r="4" spans="1:7" ht="30" customHeight="1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spans="1:7" ht="19.5" customHeight="1">
      <c r="A5" s="44" t="s">
        <v>42</v>
      </c>
      <c r="B5" s="24"/>
      <c r="C5" s="24"/>
      <c r="D5" s="24"/>
      <c r="E5" s="24"/>
      <c r="F5" s="24"/>
      <c r="G5" s="25"/>
    </row>
    <row r="6" spans="1:7" ht="24.75" customHeight="1">
      <c r="A6" s="11"/>
      <c r="B6" s="12"/>
      <c r="C6" s="13"/>
      <c r="D6" s="11"/>
      <c r="E6" s="13"/>
      <c r="F6" s="13"/>
      <c r="G6" s="11"/>
    </row>
    <row r="7" spans="1:7" ht="24.75" customHeight="1">
      <c r="A7" s="11"/>
      <c r="B7" s="12"/>
      <c r="C7" s="13"/>
      <c r="D7" s="11"/>
      <c r="E7" s="13"/>
      <c r="F7" s="13"/>
      <c r="G7" s="11"/>
    </row>
    <row r="8" spans="1:7" ht="24.75" customHeight="1">
      <c r="A8" s="11"/>
      <c r="B8" s="12"/>
      <c r="C8" s="13"/>
      <c r="D8" s="11"/>
      <c r="E8" s="13"/>
      <c r="F8" s="13"/>
      <c r="G8" s="11"/>
    </row>
    <row r="9" spans="1:7" ht="24.75" customHeight="1">
      <c r="A9" s="11"/>
      <c r="B9" s="16"/>
      <c r="C9" s="13"/>
      <c r="D9" s="11"/>
      <c r="E9" s="13"/>
      <c r="F9" s="13"/>
      <c r="G9" s="11"/>
    </row>
    <row r="10" spans="1:7" ht="24.75" customHeight="1">
      <c r="A10" s="11"/>
      <c r="B10" s="16"/>
      <c r="C10" s="13"/>
      <c r="D10" s="11"/>
      <c r="E10" s="13"/>
      <c r="F10" s="13"/>
      <c r="G10" s="11"/>
    </row>
    <row r="11" spans="1:7" ht="24.75" customHeight="1">
      <c r="A11" s="11"/>
      <c r="B11" s="16"/>
      <c r="C11" s="13"/>
      <c r="D11" s="11"/>
      <c r="E11" s="13"/>
      <c r="F11" s="13"/>
      <c r="G11" s="11"/>
    </row>
    <row r="12" spans="1:7" ht="24.75" customHeight="1">
      <c r="A12" s="11"/>
      <c r="B12" s="12"/>
      <c r="C12" s="13"/>
      <c r="D12" s="11"/>
      <c r="E12" s="13"/>
      <c r="F12" s="13"/>
      <c r="G12" s="11"/>
    </row>
    <row r="13" spans="1:7" ht="24.75" customHeight="1">
      <c r="A13" s="11"/>
      <c r="B13" s="12"/>
      <c r="C13" s="13"/>
      <c r="D13" s="11"/>
      <c r="E13" s="13"/>
      <c r="F13" s="13"/>
      <c r="G13" s="11"/>
    </row>
    <row r="14" spans="1:7" ht="24.75" customHeight="1">
      <c r="A14" s="11"/>
      <c r="B14" s="12"/>
      <c r="C14" s="13"/>
      <c r="D14" s="11"/>
      <c r="E14" s="13"/>
      <c r="F14" s="13"/>
      <c r="G14" s="11"/>
    </row>
    <row r="15" spans="1:7" ht="24.75" customHeight="1">
      <c r="A15" s="11"/>
      <c r="B15" s="12"/>
      <c r="C15" s="13"/>
      <c r="D15" s="11"/>
      <c r="E15" s="13"/>
      <c r="F15" s="13"/>
      <c r="G15" s="11"/>
    </row>
    <row r="16" spans="1:7" ht="24.75" customHeight="1">
      <c r="A16" s="11"/>
      <c r="B16" s="12"/>
      <c r="C16" s="13"/>
      <c r="D16" s="11"/>
      <c r="E16" s="13"/>
      <c r="F16" s="13"/>
      <c r="G16" s="11"/>
    </row>
    <row r="17" spans="1:7" ht="24.75" customHeight="1">
      <c r="A17" s="11"/>
      <c r="B17" s="11"/>
      <c r="C17" s="13"/>
      <c r="D17" s="11"/>
      <c r="E17" s="13"/>
      <c r="F17" s="13"/>
      <c r="G17" s="11"/>
    </row>
    <row r="18" spans="1:7" ht="24.75" customHeight="1">
      <c r="A18" s="11"/>
      <c r="B18" s="11"/>
      <c r="C18" s="13"/>
      <c r="D18" s="11"/>
      <c r="E18" s="13"/>
      <c r="F18" s="13"/>
      <c r="G18" s="11"/>
    </row>
    <row r="19" spans="1:7" ht="24.75" customHeight="1">
      <c r="A19" s="11"/>
      <c r="B19" s="11"/>
      <c r="C19" s="13"/>
      <c r="D19" s="11"/>
      <c r="E19" s="13"/>
      <c r="F19" s="13"/>
      <c r="G19" s="11"/>
    </row>
    <row r="20" spans="1:7" ht="24.75" customHeight="1">
      <c r="A20" s="11"/>
      <c r="B20" s="11"/>
      <c r="C20" s="13"/>
      <c r="D20" s="11"/>
      <c r="E20" s="13"/>
      <c r="F20" s="13"/>
      <c r="G20" s="11"/>
    </row>
    <row r="21" spans="1:7" ht="24.75" customHeight="1">
      <c r="A21" s="11"/>
      <c r="B21" s="11"/>
      <c r="C21" s="13"/>
      <c r="D21" s="11"/>
      <c r="E21" s="13"/>
      <c r="F21" s="13"/>
      <c r="G21" s="11"/>
    </row>
    <row r="22" spans="1:7" ht="24.75" customHeight="1">
      <c r="A22" s="11"/>
      <c r="B22" s="11"/>
      <c r="C22" s="13"/>
      <c r="D22" s="11"/>
      <c r="E22" s="13"/>
      <c r="F22" s="13"/>
      <c r="G22" s="11"/>
    </row>
    <row r="23" spans="1:7" ht="24.75" customHeight="1">
      <c r="A23" s="11"/>
      <c r="B23" s="11"/>
      <c r="C23" s="13"/>
      <c r="D23" s="11"/>
      <c r="E23" s="13"/>
      <c r="F23" s="13"/>
      <c r="G23" s="11"/>
    </row>
    <row r="24" spans="1:7" ht="24.75" customHeight="1">
      <c r="A24" s="11"/>
      <c r="B24" s="11"/>
      <c r="C24" s="13"/>
      <c r="D24" s="11"/>
      <c r="E24" s="13"/>
      <c r="F24" s="13"/>
      <c r="G24" s="11"/>
    </row>
    <row r="25" spans="1:7" ht="24.75" customHeight="1">
      <c r="A25" s="11"/>
      <c r="B25" s="11"/>
      <c r="C25" s="13"/>
      <c r="D25" s="11"/>
      <c r="E25" s="13"/>
      <c r="F25" s="13"/>
      <c r="G25" s="11"/>
    </row>
    <row r="26" spans="1:7" ht="15.75" customHeight="1"/>
    <row r="27" spans="1:7" ht="15.75" customHeight="1">
      <c r="A27" s="45" t="s">
        <v>47</v>
      </c>
      <c r="B27" s="33"/>
      <c r="C27" s="33"/>
      <c r="D27" s="34"/>
      <c r="E27" s="14">
        <f t="shared" ref="E27:F27" si="0">SUM(E6:E25)</f>
        <v>0</v>
      </c>
      <c r="F27" s="14">
        <f t="shared" si="0"/>
        <v>0</v>
      </c>
      <c r="G27" s="15" t="str">
        <f>COUNTIF(G6:G25,"● HIGH")&amp;"H "&amp;COUNTIF(G6:G25,"◐ MEDIUM")&amp;"M "&amp;COUNTIF(G6:G25,"○ LOW")&amp;"L"</f>
        <v>0H 0M 0L</v>
      </c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5:G5"/>
    <mergeCell ref="A27:D27"/>
  </mergeCells>
  <dataValidations count="2">
    <dataValidation type="list" allowBlank="1" sqref="D6:D25" xr:uid="{00000000-0002-0000-0300-000000000000}">
      <formula1>"🟢 Upgrade,🟡 Flat,🟠 Downgrade"</formula1>
    </dataValidation>
    <dataValidation type="list" allowBlank="1" sqref="G6:G25" xr:uid="{00000000-0002-0000-0300-000001000000}">
      <formula1>"● HIGH,◐ MEDIUM,○ LOW"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4140625" defaultRowHeight="15" customHeight="1"/>
  <cols>
    <col min="1" max="1" width="25" customWidth="1"/>
    <col min="2" max="2" width="12" customWidth="1"/>
    <col min="3" max="3" width="14" customWidth="1"/>
    <col min="4" max="4" width="16" customWidth="1"/>
    <col min="5" max="6" width="14" customWidth="1"/>
    <col min="7" max="7" width="12" customWidth="1"/>
    <col min="8" max="26" width="8.6640625" customWidth="1"/>
  </cols>
  <sheetData>
    <row r="1" spans="1:7" ht="24.75" customHeight="1">
      <c r="A1" s="23" t="s">
        <v>48</v>
      </c>
      <c r="B1" s="24"/>
      <c r="C1" s="24"/>
      <c r="D1" s="24"/>
      <c r="E1" s="24"/>
      <c r="F1" s="24"/>
      <c r="G1" s="25"/>
    </row>
    <row r="2" spans="1:7" ht="19.5" customHeight="1">
      <c r="A2" s="43" t="s">
        <v>34</v>
      </c>
      <c r="B2" s="24"/>
      <c r="C2" s="24"/>
      <c r="D2" s="24"/>
      <c r="E2" s="24"/>
      <c r="F2" s="24"/>
      <c r="G2" s="25"/>
    </row>
    <row r="4" spans="1:7" ht="30" customHeight="1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spans="1:7" ht="19.5" customHeight="1">
      <c r="A5" s="44" t="s">
        <v>42</v>
      </c>
      <c r="B5" s="24"/>
      <c r="C5" s="24"/>
      <c r="D5" s="24"/>
      <c r="E5" s="24"/>
      <c r="F5" s="24"/>
      <c r="G5" s="25"/>
    </row>
    <row r="6" spans="1:7" ht="24.75" customHeight="1">
      <c r="A6" s="11"/>
      <c r="B6" s="12"/>
      <c r="C6" s="13"/>
      <c r="D6" s="11"/>
      <c r="E6" s="13"/>
      <c r="F6" s="13"/>
      <c r="G6" s="11"/>
    </row>
    <row r="7" spans="1:7" ht="24.75" customHeight="1">
      <c r="A7" s="11"/>
      <c r="B7" s="12"/>
      <c r="C7" s="13"/>
      <c r="D7" s="11"/>
      <c r="E7" s="13"/>
      <c r="F7" s="13"/>
      <c r="G7" s="11"/>
    </row>
    <row r="8" spans="1:7" ht="24.75" customHeight="1">
      <c r="A8" s="11"/>
      <c r="B8" s="12"/>
      <c r="C8" s="13"/>
      <c r="D8" s="11"/>
      <c r="E8" s="13"/>
      <c r="F8" s="13"/>
      <c r="G8" s="11"/>
    </row>
    <row r="9" spans="1:7" ht="24.75" customHeight="1">
      <c r="A9" s="11"/>
      <c r="B9" s="12"/>
      <c r="C9" s="13"/>
      <c r="D9" s="11"/>
      <c r="E9" s="13"/>
      <c r="F9" s="13"/>
      <c r="G9" s="11"/>
    </row>
    <row r="10" spans="1:7" ht="24.75" customHeight="1">
      <c r="A10" s="11"/>
      <c r="B10" s="12"/>
      <c r="C10" s="13"/>
      <c r="D10" s="11"/>
      <c r="E10" s="13"/>
      <c r="F10" s="13"/>
      <c r="G10" s="11"/>
    </row>
    <row r="11" spans="1:7" ht="24.75" customHeight="1">
      <c r="A11" s="11"/>
      <c r="B11" s="12"/>
      <c r="C11" s="13"/>
      <c r="D11" s="11"/>
      <c r="E11" s="13"/>
      <c r="F11" s="13"/>
      <c r="G11" s="11"/>
    </row>
    <row r="12" spans="1:7" ht="24.75" customHeight="1">
      <c r="A12" s="11"/>
      <c r="B12" s="12"/>
      <c r="C12" s="13"/>
      <c r="D12" s="11"/>
      <c r="E12" s="13"/>
      <c r="F12" s="13"/>
      <c r="G12" s="11"/>
    </row>
    <row r="13" spans="1:7" ht="24.75" customHeight="1">
      <c r="A13" s="11"/>
      <c r="B13" s="12"/>
      <c r="C13" s="13"/>
      <c r="D13" s="11"/>
      <c r="E13" s="13"/>
      <c r="F13" s="13"/>
      <c r="G13" s="11"/>
    </row>
    <row r="14" spans="1:7" ht="24.75" customHeight="1">
      <c r="A14" s="11"/>
      <c r="B14" s="12"/>
      <c r="C14" s="13"/>
      <c r="D14" s="11"/>
      <c r="E14" s="13"/>
      <c r="F14" s="13"/>
      <c r="G14" s="11"/>
    </row>
    <row r="15" spans="1:7" ht="24.75" customHeight="1">
      <c r="A15" s="11"/>
      <c r="B15" s="12"/>
      <c r="C15" s="13"/>
      <c r="D15" s="11"/>
      <c r="E15" s="13"/>
      <c r="F15" s="13"/>
      <c r="G15" s="11"/>
    </row>
    <row r="16" spans="1:7" ht="24.75" customHeight="1">
      <c r="A16" s="11"/>
      <c r="B16" s="12"/>
      <c r="C16" s="13"/>
      <c r="D16" s="11"/>
      <c r="E16" s="13"/>
      <c r="F16" s="13"/>
      <c r="G16" s="11"/>
    </row>
    <row r="17" spans="1:7" ht="24.75" customHeight="1">
      <c r="A17" s="11"/>
      <c r="B17" s="11"/>
      <c r="C17" s="13"/>
      <c r="D17" s="11"/>
      <c r="E17" s="13"/>
      <c r="F17" s="13"/>
      <c r="G17" s="11"/>
    </row>
    <row r="18" spans="1:7" ht="24.75" customHeight="1">
      <c r="A18" s="11"/>
      <c r="B18" s="11"/>
      <c r="C18" s="13"/>
      <c r="D18" s="11"/>
      <c r="E18" s="13"/>
      <c r="F18" s="13"/>
      <c r="G18" s="11"/>
    </row>
    <row r="19" spans="1:7" ht="24.75" customHeight="1">
      <c r="A19" s="11"/>
      <c r="B19" s="11"/>
      <c r="C19" s="13"/>
      <c r="D19" s="11"/>
      <c r="E19" s="13"/>
      <c r="F19" s="13"/>
      <c r="G19" s="11"/>
    </row>
    <row r="20" spans="1:7" ht="24.75" customHeight="1">
      <c r="A20" s="11"/>
      <c r="B20" s="11"/>
      <c r="C20" s="13"/>
      <c r="D20" s="11"/>
      <c r="E20" s="13"/>
      <c r="F20" s="13"/>
      <c r="G20" s="11"/>
    </row>
    <row r="21" spans="1:7" ht="24.75" customHeight="1">
      <c r="A21" s="11"/>
      <c r="B21" s="11"/>
      <c r="C21" s="13"/>
      <c r="D21" s="11"/>
      <c r="E21" s="13"/>
      <c r="F21" s="13"/>
      <c r="G21" s="11"/>
    </row>
    <row r="22" spans="1:7" ht="24.75" customHeight="1">
      <c r="A22" s="11"/>
      <c r="B22" s="11"/>
      <c r="C22" s="13"/>
      <c r="D22" s="11"/>
      <c r="E22" s="13"/>
      <c r="F22" s="13"/>
      <c r="G22" s="11"/>
    </row>
    <row r="23" spans="1:7" ht="24.75" customHeight="1">
      <c r="A23" s="11"/>
      <c r="B23" s="11"/>
      <c r="C23" s="13"/>
      <c r="D23" s="11"/>
      <c r="E23" s="13"/>
      <c r="F23" s="13"/>
      <c r="G23" s="11"/>
    </row>
    <row r="24" spans="1:7" ht="24.75" customHeight="1">
      <c r="A24" s="11"/>
      <c r="B24" s="11"/>
      <c r="C24" s="13"/>
      <c r="D24" s="11"/>
      <c r="E24" s="13"/>
      <c r="F24" s="13"/>
      <c r="G24" s="11"/>
    </row>
    <row r="25" spans="1:7" ht="24.75" customHeight="1">
      <c r="A25" s="11"/>
      <c r="B25" s="11"/>
      <c r="C25" s="13"/>
      <c r="D25" s="11"/>
      <c r="E25" s="13"/>
      <c r="F25" s="13"/>
      <c r="G25" s="11"/>
    </row>
    <row r="26" spans="1:7" ht="15.75" customHeight="1"/>
    <row r="27" spans="1:7" ht="15.75" customHeight="1">
      <c r="A27" s="45" t="s">
        <v>49</v>
      </c>
      <c r="B27" s="33"/>
      <c r="C27" s="33"/>
      <c r="D27" s="34"/>
      <c r="E27" s="14">
        <f t="shared" ref="E27:F27" si="0">SUM(E6:E25)</f>
        <v>0</v>
      </c>
      <c r="F27" s="14">
        <f t="shared" si="0"/>
        <v>0</v>
      </c>
      <c r="G27" s="15" t="str">
        <f>COUNTIF(G6:G25,"● HIGH")&amp;"H "&amp;COUNTIF(G6:G25,"◐ MEDIUM")&amp;"M "&amp;COUNTIF(G6:G25,"○ LOW")&amp;"L"</f>
        <v>0H 0M 0L</v>
      </c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5:G5"/>
    <mergeCell ref="A27:D27"/>
  </mergeCells>
  <dataValidations count="2">
    <dataValidation type="list" allowBlank="1" sqref="D6:D25" xr:uid="{00000000-0002-0000-0400-000000000000}">
      <formula1>"🟢 Upgrade,🟡 Flat,🟠 Downgrade"</formula1>
    </dataValidation>
    <dataValidation type="list" allowBlank="1" sqref="G6:G25" xr:uid="{00000000-0002-0000-0400-000001000000}">
      <formula1>"● HIGH,◐ MEDIUM,○ LOW"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64"/>
  <sheetViews>
    <sheetView tabSelected="1" zoomScale="92" workbookViewId="0">
      <selection sqref="A1:H1"/>
    </sheetView>
  </sheetViews>
  <sheetFormatPr defaultColWidth="14.44140625" defaultRowHeight="15" customHeight="1"/>
  <cols>
    <col min="1" max="1" width="22" customWidth="1"/>
    <col min="2" max="2" width="14" customWidth="1"/>
    <col min="3" max="3" width="16" customWidth="1"/>
    <col min="4" max="4" width="28" customWidth="1"/>
    <col min="5" max="6" width="16" customWidth="1"/>
    <col min="7" max="7" width="14" customWidth="1"/>
    <col min="8" max="8" width="18" customWidth="1"/>
    <col min="9" max="26" width="8.6640625" customWidth="1"/>
  </cols>
  <sheetData>
    <row r="1" spans="1:8" ht="24.75" customHeight="1">
      <c r="A1" s="23" t="s">
        <v>50</v>
      </c>
      <c r="B1" s="24"/>
      <c r="C1" s="24"/>
      <c r="D1" s="24"/>
      <c r="E1" s="24"/>
      <c r="F1" s="24"/>
      <c r="G1" s="24"/>
      <c r="H1" s="25"/>
    </row>
    <row r="2" spans="1:8" ht="24.75" customHeight="1">
      <c r="A2" s="48" t="s">
        <v>51</v>
      </c>
      <c r="B2" s="24"/>
      <c r="C2" s="24"/>
      <c r="D2" s="24"/>
      <c r="E2" s="24"/>
      <c r="F2" s="24"/>
      <c r="G2" s="24"/>
      <c r="H2" s="25"/>
    </row>
    <row r="4" spans="1:8" ht="19.5" customHeight="1">
      <c r="A4" s="42" t="s">
        <v>52</v>
      </c>
      <c r="B4" s="24"/>
      <c r="C4" s="24"/>
      <c r="D4" s="24"/>
      <c r="E4" s="24"/>
      <c r="F4" s="24"/>
      <c r="G4" s="24"/>
      <c r="H4" s="25"/>
    </row>
    <row r="5" spans="1:8" ht="14.4">
      <c r="A5" s="1" t="s">
        <v>53</v>
      </c>
      <c r="B5" s="49">
        <f>COUNTA('Q1'!A6:A25)+COUNTA('Q2'!A6:A25)+COUNTA('Q3'!A6:A25)+COUNTA('Q4'!A6:A25)</f>
        <v>0</v>
      </c>
      <c r="C5" s="20"/>
      <c r="D5" s="1" t="s">
        <v>54</v>
      </c>
      <c r="E5" s="50">
        <f>SUM('Q1'!C6:C25)+SUM('Q2'!C6:C25)+SUM('Q3'!C6:C25)+SUM('Q4'!C6:C25)</f>
        <v>0</v>
      </c>
      <c r="F5" s="20"/>
      <c r="G5" s="47" t="s">
        <v>55</v>
      </c>
      <c r="H5" s="20"/>
    </row>
    <row r="6" spans="1:8" ht="14.4">
      <c r="A6" s="1" t="s">
        <v>56</v>
      </c>
      <c r="B6" s="46" t="s">
        <v>57</v>
      </c>
      <c r="C6" s="20"/>
      <c r="D6" s="1" t="s">
        <v>58</v>
      </c>
      <c r="E6" s="46" t="s">
        <v>59</v>
      </c>
      <c r="F6" s="20"/>
      <c r="G6" s="47" t="s">
        <v>60</v>
      </c>
      <c r="H6" s="20"/>
    </row>
    <row r="8" spans="1:8" ht="19.5" customHeight="1">
      <c r="A8" s="42" t="s">
        <v>61</v>
      </c>
      <c r="B8" s="24"/>
      <c r="C8" s="24"/>
      <c r="D8" s="24"/>
      <c r="E8" s="24"/>
      <c r="F8" s="24"/>
      <c r="G8" s="24"/>
      <c r="H8" s="25"/>
    </row>
    <row r="9" spans="1:8" ht="34.5" customHeight="1">
      <c r="A9" s="6" t="s">
        <v>35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</row>
    <row r="10" spans="1:8" ht="30" customHeight="1">
      <c r="A10" s="17"/>
      <c r="B10" s="18"/>
      <c r="C10" s="17"/>
      <c r="D10" s="17"/>
      <c r="E10" s="18"/>
      <c r="F10" s="17"/>
      <c r="G10" s="17"/>
      <c r="H10" s="17"/>
    </row>
    <row r="11" spans="1:8" ht="30" customHeight="1">
      <c r="A11" s="17"/>
      <c r="B11" s="18"/>
      <c r="C11" s="17"/>
      <c r="D11" s="17"/>
      <c r="E11" s="18"/>
      <c r="F11" s="17"/>
      <c r="G11" s="17"/>
      <c r="H11" s="17"/>
    </row>
    <row r="12" spans="1:8" ht="30" customHeight="1">
      <c r="A12" s="17"/>
      <c r="B12" s="18"/>
      <c r="C12" s="17"/>
      <c r="D12" s="17"/>
      <c r="E12" s="18"/>
      <c r="F12" s="17"/>
      <c r="G12" s="17"/>
      <c r="H12" s="17"/>
    </row>
    <row r="13" spans="1:8" ht="30" customHeight="1">
      <c r="A13" s="17"/>
      <c r="B13" s="18"/>
      <c r="C13" s="17"/>
      <c r="D13" s="17"/>
      <c r="E13" s="18"/>
      <c r="F13" s="17"/>
      <c r="G13" s="17"/>
      <c r="H13" s="17"/>
    </row>
    <row r="14" spans="1:8" ht="30" customHeight="1">
      <c r="A14" s="17"/>
      <c r="B14" s="18"/>
      <c r="C14" s="17"/>
      <c r="D14" s="17"/>
      <c r="E14" s="18"/>
      <c r="F14" s="17"/>
      <c r="G14" s="17"/>
      <c r="H14" s="17"/>
    </row>
    <row r="15" spans="1:8" ht="30" customHeight="1">
      <c r="A15" s="17"/>
      <c r="B15" s="18"/>
      <c r="C15" s="17"/>
      <c r="D15" s="17"/>
      <c r="E15" s="18"/>
      <c r="F15" s="17"/>
      <c r="G15" s="17"/>
      <c r="H15" s="17"/>
    </row>
    <row r="16" spans="1:8" ht="30" customHeight="1">
      <c r="A16" s="17"/>
      <c r="B16" s="18"/>
      <c r="C16" s="17"/>
      <c r="D16" s="17"/>
      <c r="E16" s="18"/>
      <c r="F16" s="17"/>
      <c r="G16" s="17"/>
      <c r="H16" s="17"/>
    </row>
    <row r="17" spans="1:8" ht="30" customHeight="1">
      <c r="A17" s="17"/>
      <c r="B17" s="18"/>
      <c r="C17" s="17"/>
      <c r="D17" s="17"/>
      <c r="E17" s="18"/>
      <c r="F17" s="17"/>
      <c r="G17" s="17"/>
      <c r="H17" s="17"/>
    </row>
    <row r="18" spans="1:8" ht="30" customHeight="1">
      <c r="A18" s="17"/>
      <c r="B18" s="18"/>
      <c r="C18" s="17"/>
      <c r="D18" s="17"/>
      <c r="E18" s="18"/>
      <c r="F18" s="17"/>
      <c r="G18" s="17"/>
      <c r="H18" s="17"/>
    </row>
    <row r="19" spans="1:8" ht="30" customHeight="1">
      <c r="A19" s="17"/>
      <c r="B19" s="18"/>
      <c r="C19" s="17"/>
      <c r="D19" s="17"/>
      <c r="E19" s="18"/>
      <c r="F19" s="17"/>
      <c r="G19" s="17"/>
      <c r="H19" s="17"/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0">
    <mergeCell ref="A8:H8"/>
    <mergeCell ref="E6:F6"/>
    <mergeCell ref="G6:H6"/>
    <mergeCell ref="A1:H1"/>
    <mergeCell ref="A2:H2"/>
    <mergeCell ref="A4:H4"/>
    <mergeCell ref="B5:C5"/>
    <mergeCell ref="E5:F5"/>
    <mergeCell ref="G5:H5"/>
    <mergeCell ref="B6:C6"/>
  </mergeCells>
  <dataValidations count="3">
    <dataValidation type="list" allowBlank="1" sqref="C10:C19" xr:uid="{00000000-0002-0000-0500-000000000000}">
      <formula1>"Q1,Q2,Q3,Q4"</formula1>
    </dataValidation>
    <dataValidation type="list" allowBlank="1" sqref="F10:F19" xr:uid="{00000000-0002-0000-0500-000001000000}">
      <formula1>"Low (1-2mo),Medium (3-4mo),High (5-6mo),Very High (6mo+)"</formula1>
    </dataValidation>
    <dataValidation type="list" allowBlank="1" sqref="G10:G19" xr:uid="{00000000-0002-0000-0500-000002000000}">
      <formula1>"🔍 Researching,📋 Evaluating,🧪 Piloting,✅ Approved,❌ Rejected,⏸ On Hold"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POA Summary</vt:lpstr>
      <vt:lpstr>Q1</vt:lpstr>
      <vt:lpstr>Q2</vt:lpstr>
      <vt:lpstr>Q3</vt:lpstr>
      <vt:lpstr>Q4</vt:lpstr>
      <vt:lpstr>Alternatives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Patrick</dc:creator>
  <cp:lastModifiedBy>Jeff Patrick</cp:lastModifiedBy>
  <dcterms:created xsi:type="dcterms:W3CDTF">2026-03-30T06:37:04Z</dcterms:created>
  <dcterms:modified xsi:type="dcterms:W3CDTF">2026-03-30T06:37:05Z</dcterms:modified>
</cp:coreProperties>
</file>